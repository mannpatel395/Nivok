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nd\Downloads\"/>
    </mc:Choice>
  </mc:AlternateContent>
  <xr:revisionPtr revIDLastSave="0" documentId="8_{FB67A115-D9B1-4275-93F3-79FB9E161A39}" xr6:coauthVersionLast="47" xr6:coauthVersionMax="47" xr10:uidLastSave="{00000000-0000-0000-0000-000000000000}"/>
  <bookViews>
    <workbookView xWindow="-110" yWindow="-110" windowWidth="19420" windowHeight="10300" xr2:uid="{7D1A2C00-3841-4CBB-AAE8-BC38CAD7F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4" i="1"/>
</calcChain>
</file>

<file path=xl/sharedStrings.xml><?xml version="1.0" encoding="utf-8"?>
<sst xmlns="http://schemas.openxmlformats.org/spreadsheetml/2006/main" count="46" uniqueCount="46">
  <si>
    <t>MG996R Servo motor</t>
  </si>
  <si>
    <t>https://robu.in/product/towardpro-mg996r-digital-high-torque-servo-motor/?gad_source=1&amp;gad_campaignid=20381096599&amp;gbraid=0AAAAADvLFWf_GdAZ1RSfm2qmaouDO4fzR&amp;gclid=Cj0KCQjw4PPNBhD8ARIsAMo-iczes_8oYZDGxvmy9i5psKHxM4xVXahxjOL-uEhiSSbbIQ6ZavsgKQ8aAo3LEALw_wcB</t>
  </si>
  <si>
    <t>PCA9685 Servo Motor Driver</t>
  </si>
  <si>
    <t>https://www.amazon.com/HiLetgo-PCA9685-Channel-12-Bit-Arduino/dp/B07BRS249H/ref=as_li_ss_tl?dchild=1&amp;keywords=PCA9685&amp;qid=1608902784&amp;sr=8-3&amp;linkCode=sl1&amp;tag=aram1-20&amp;linkId=6bfd45042da589c58c76a83aa9234729&amp;language=en_US</t>
  </si>
  <si>
    <t>4.8v Battery Pack</t>
  </si>
  <si>
    <t>https://www.amazon.com/Gecoty-Battery-Upgrade-2400mAh-Rechargeable/dp/B07ZD72FR8/ref=as_li_ss_tl?crid=1SUXXTEM72AMX&amp;dchild=1&amp;keywords=5v%2Brc%2Bbattery&amp;qid=1608902830&amp;sprefix=5V%2BRC%2Caps%2C230&amp;sr=8-2&amp;linkCode=sl1&amp;tag=aram1-20&amp;linkId=cf33cc25cb1525b1538bbb631d1613ce&amp;language=en_US&amp;th=1</t>
  </si>
  <si>
    <t>ELEGOO UNO R3</t>
  </si>
  <si>
    <t>https://www.amazon.com/ELEGOO-Board-ATmega328P-ATMEGA16U2-Compliant/dp/B01EWOE0UU/ref=as_li_ss_tl?dchild=1&amp;keywords=Arduino+Uno&amp;qid=1608902855&amp;sr=8-4&amp;linkCode=sl1&amp;tag=aram1-20&amp;linkId=8fcff8f543d114bffbbaff8e80590816&amp;language=en_US</t>
  </si>
  <si>
    <t>HC-05 Bluetooth</t>
  </si>
  <si>
    <t>https://www.amazon.com/DSD-TECH-HC-05-Pass-through-Communication/dp/B01G9KSAF6/ref=as_li_ss_tl?dchild=1&amp;keywords=Arduino+HC05&amp;qid=1608902879&amp;sr=8-5&amp;linkCode=sl1&amp;tag=aram1-20&amp;linkId=4b05d464c921cc200c23040703bf5d17&amp;language=en_US</t>
  </si>
  <si>
    <t>Breadboards</t>
  </si>
  <si>
    <t>http://amazon.com/Breadboards-Solderless-Breadboard-Distribution-Connecting/dp/B07DL13RZH/ref=as_li_ss_tl?dchild=1&amp;keywords=Breadboard&amp;qid=1608902971&amp;sr=8-3&amp;linkCode=sl1&amp;tag=aram1-20&amp;linkId=3d4e3bd50e7c48c7f6cfe02374c572b0&amp;language=en_US</t>
  </si>
  <si>
    <t>Multicolored Dupont Wire</t>
  </si>
  <si>
    <t>https://www.amazon.com/Elegoo-EL-CP-004-Multicolored-Breadboard-arduino/dp/B01EV70C78/ref=as_li_ss_tl?dchild=1&amp;keywords=Jumper+Wires&amp;qid=1608903005&amp;sr=8-2-spons&amp;psc=1&amp;spLa=ZW5jcnlwdGVkUXVhbGlmaWVyPUFVMFZHVlI2TFBGRkMmZW5jcnlwdGVkSWQ9QTAwNTI3MThNM0UzRVVWSFBHQzEmZW5jcnlwdGVkQWRJZD1BMDUzMTg0NzNMTjhVQ1ZVMUg0OEQmd2lkZ2V0TmFtZT1zcF9hdGYmYWN0aW9uPWNsaWNrUmVkaXJlY3QmZG9Ob3RMb2dDbGljaz10cnVl&amp;linkCode=sl1&amp;tag=aram1-20&amp;linkId=af9f66671c3127cfc87d0302697160a8&amp;language=en_US</t>
  </si>
  <si>
    <t>https://robu.in/product/nema17-4-2-kgcm-stepper-motor/?gad_source=1&amp;gad_campaignid=20381096599&amp;gbraid=0AAAAADvLFWf_GdAZ1RSfm2qmaouDO4fzR&amp;gclid=Cj0KCQjw4PPNBhD8ARIsAMo-icw4dpHzkAUAw_S3szy53HFl9X8dWwjU-clugoYipY-7aYBAD1L0jEQaAqWeEALw_wcB</t>
  </si>
  <si>
    <t>Nema 17 Servo Motor</t>
  </si>
  <si>
    <t>A4988 driver Stepper Motor Driver</t>
  </si>
  <si>
    <t>https://robu.in/product/a4988-driver-stepper-motor-driver/?gad_source=1&amp;gad_campaignid=20381096599&amp;gbraid=0AAAAADvLFWf_GdAZ1RSfm2qmaouDO4fzR&amp;gclid=Cj0KCQjw4PPNBhD8ARIsAMo-icxAmRDQ_sQ1djITtcrzscmsR57J_rZBkzJiIgKSRGylgecqeeTjBvoaAtHoEALw_wcB</t>
  </si>
  <si>
    <t>https://robu.in/product/orange-11-1v-2500mah-3c-3s-tx-lithium-polymer-battery-pack-with-jst-bec-connector/?gad_source=1&amp;gad_campaignid=17427802559&amp;gbraid=0AAAAADvLFWfyFtQE7mnqPIu2RWXBkvMZ0&amp;gclid=Cj0KCQjw4PPNBhD8ARIsAMo-icysnCN9fjzYawHXbUMut9BazRBahgK_B2uMicA47LaJkc4avHkxMrEaArTlEALw_wcB</t>
  </si>
  <si>
    <t>11.1V 2500mAh Lithium Polymer Battery</t>
  </si>
  <si>
    <t>Flex Sensor</t>
  </si>
  <si>
    <t>https://robocraze.com/products/flex-sensor-2-2?variant=40192405504153&amp;country=IN&amp;currency=INR&amp;utm_medium=product_sync&amp;utm_source=google&amp;utm_content=sag_organic&amp;utm_campaign=sag_organic&amp;campaignid=22114711878&amp;adgroupid=&amp;keyword=&amp;device=c&amp;gad_source=1&amp;gad_campaignid=22124708836&amp;gbraid=0AAAAADgHQvabgELhFERq2YEE89vDBQuBp&amp;gclid=Cj0KCQjw4PPNBhD8ARIsAMo-icy7Dflqcm2Xn_wrKLYFFa46KVTnYIbY_raKAct1zNNBhhJYEuFhXusaAnPtEALw_wcB</t>
  </si>
  <si>
    <t>MPU6050 3 Axis Accelerometer</t>
  </si>
  <si>
    <t>https://www.amazon.com/HiLetgo-MPU-6050-Accelerometer-Gyroscope-Converter/dp/B00LP25V1A/ref=as_li_ss_tl?dchild=1&amp;keywords=MPU6050&amp;qid=1608903853&amp;sr=8-3&amp;linkCode=sl1&amp;tag=aram1-20&amp;linkId=342948a9567a1f8664324e0855e7cd77&amp;language=en_US&amp;th=1</t>
  </si>
  <si>
    <t>Nano Board </t>
  </si>
  <si>
    <t>https://www.amazon.com/ELEGOO-Arduino-ATmega328P-Without-Compatible/dp/B0713XK923/ref=as_li_ss_tl?dchild=1&amp;keywords=Arduino%2BNano&amp;qid=1608903882&amp;sr=8-1-spons&amp;spLa=ZW5jcnlwdGVkUXVhbGlmaWVyPUEyOVVKQUhQWEtRQzFQJmVuY3J5cHRlZElkPUEwNDQzOTA5MzgzS0xMRjhLTkFGSiZlbmNyeXB0ZWRBZElkPUEwNjY5Mjg5MTdYSUo3UVNSUDZaVSZ3aWRnZXROYW1lPXNwX2F0ZiZhY3Rpb249Y2xpY2tSZWRpcmVjdCZkb05vdExvZ0NsaWNrPXRydWU&amp;linkCode=sl1&amp;tag=aram1-20&amp;linkId=7065cac97f90f2553aa1d8f0cf3af05a&amp;language=en_US&amp;th=1</t>
  </si>
  <si>
    <t>10K ohm Resistor</t>
  </si>
  <si>
    <t>https://www.amazon.com/EDGELEC-Resistor-Tolerance-Multiple-Resistance/dp/B07QJB31M7/ref=as_li_ss_tl?dchild=1&amp;keywords=Resistors%2B(10K)&amp;qid=1608903902&amp;sr=8-1-spons&amp;spLa=ZW5jcnlwdGVkUXVhbGlmaWVyPUExNkdDV0VLM0dGSk1KJmVuY3J5cHRlZElkPUEwNDE0NjY0MzZaRDVNRThRUjRKRCZlbmNyeXB0ZWRBZElkPUEwMDk0OTU3SkVFNDY1M1hHRjgwJndpZGdldE5hbWU9c3BfYXRmJmFjdGlvbj1jbGlja1JlZGlyZWN0JmRvTm90TG9nQ2xpY2s9dHJ1ZQ&amp;linkCode=sl1&amp;tag=aram1-20&amp;linkId=1ae79e87015f1b60a927ee190ab6ab54&amp;language=en_US&amp;th=1</t>
  </si>
  <si>
    <t>1% Resistor Kit Assortment</t>
  </si>
  <si>
    <t>https://www.amazon.com/Elegoo-Values-Resistor-Assortment-Compliant/dp/B072BL2VX1/ref=as_li_ss_tl?dchild=1&amp;keywords=Resistors+(220+R)&amp;qid=1608903915&amp;sr=8-1-spons&amp;psc=1&amp;spLa=ZW5jcnlwdGVkUXVhbGlmaWVyPUEzNVU2RFJMSEpJWEZRJmVuY3J5cHRlZElkPUEwOTI4MTc0WEcxUlExMk9QUTBIJmVuY3J5cHRlZEFkSWQ9QTA2NjgzOTdORlhVSjhIVlRFRkMmd2lkZ2V0TmFtZT1zcF9hdGYmYWN0aW9uPWNsaWNrUmVkaXJlY3QmZG9Ob3RMb2dDbGljaz10cnVl&amp;linkCode=sl1&amp;tag=aram1-20&amp;linkId=9ead150fe84f8ee20b155ae0ee937d5b&amp;language=en_US</t>
  </si>
  <si>
    <t>Alkaline Batteries, 9V</t>
  </si>
  <si>
    <t>https://www.amazon.com/Duracell-PC1604BKD-Procell-Alkaline-Batteries/dp/B001DZI4GS/ref=as_li_ss_tl?dchild=1&amp;keywords=9V+Battery&amp;qid=1608904199&amp;sr=8-14&amp;linkCode=sl1&amp;tag=sbio20-20&amp;linkId=8153a3af4b86440266c70f10e35dc342&amp;language=en_US</t>
  </si>
  <si>
    <t>9V Battery Clip</t>
  </si>
  <si>
    <t>https://www.amazon.com/Battery-Connector-Leather-Housing-Connection/dp/B06X8YZJ64/ref=as_li_ss_tl?dchild=1&amp;keywords=9V+battery+Clip&amp;qid=1608904045&amp;sr=8-1-spons&amp;psc=1&amp;spLa=ZW5jcnlwdGVkUXVhbGlmaWVyPUFCSERBTkQwQ0cwQUImZW5jcnlwdGVkSWQ9QTAxMTY4NjYzUTU3SlhDMUFYS09WJmVuY3J5cHRlZEFkSWQ9QTA4ODQxNTIzQjZDU0E0MVdESzRSJndpZGdldE5hbWU9c3BfYXRmJmFjdGlvbj1jbGlja1JlZGlyZWN0JmRvTm90TG9nQ2xpY2s9dHJ1ZQ==&amp;linkCode=sl1&amp;tag=aram1-20&amp;linkId=9cdb165a84c9a7b9dca0a3c9aa227fa8&amp;language=en_US</t>
  </si>
  <si>
    <t>0.1uF-1000uF of 10V-50V Range Electrolytic Capacitor</t>
  </si>
  <si>
    <t>https://quartzcomponents.com/products/24-values-electrolytic-capacitor-assortment-kit-includes-10v-16v-25v-50v-range-0-1uf-1000uf-aluminum-electrolytic-capacitor-kit?variant=45839274311914&amp;country=IN&amp;currency=INR&amp;utm_medium=product_sync&amp;utm_source=google&amp;utm_content=sag_organic&amp;utm_campaign=sag_organic?utm_source=google&amp;utm_medium=FreeListings&amp;gad_source=1&amp;gad_campaignid=21214248935&amp;gbraid=0AAAAACPPFdPymDPxWSes7zDR3lOKXbCdg&amp;gclid=Cj0KCQjw4PPNBhD8ARIsAMo-icy0T5qsDjT561H5lwFtRUZNH64x90GFCDMA-4k03G8hNmM64hinNfAaAtz4EALw_wcB</t>
  </si>
  <si>
    <t>HC-05 Bluetooth </t>
  </si>
  <si>
    <t>https://www.amazon.com/DSD-TECH-HC-05-Pass-through-Communication/dp/B01G9KSAF6/ref=as_li_ss_tl?dchild=1&amp;keywords=Arduino+HC-05&amp;qid=1608904092&amp;sr=8-1-spons&amp;psc=1&amp;spLa=ZW5jcnlwdGVkUXVhbGlmaWVyPUFHWTkzV05XT1FMRkEmZW5jcnlwdGVkSWQ9QTAyOTkzMzIyRkRPQURTMzRCNDZNJmVuY3J5cHRlZEFkSWQ9QTEwMzg2NzZUN1lRWU9MV1pUTEomd2lkZ2V0TmFtZT1zcF9hdGYmYWN0aW9uPWNsaWNrUmVkaXJlY3QmZG9Ob3RMb2dDbGljaz10cnVl&amp;linkCode=sl1&amp;tag=aram1-20&amp;linkId=4e200897ea3a922f3cffe374bba3a6a2&amp;language=en_US</t>
  </si>
  <si>
    <t>Cable Sleeve</t>
  </si>
  <si>
    <t>https://www.amazon.com/100ft-Expandable-Braided-Sleeving-Sleeve/dp/B074GM1PK1/ref=as_li_ss_tl?dchild=1&amp;keywords=Braided%2BSleeve&amp;qid=1608904311&amp;sr=8-1-spons&amp;spLa=ZW5jcnlwdGVkUXVhbGlmaWVyPUFTSkQzWTY2VjI3SkkmZW5jcnlwdGVkSWQ9QTA2NzM0NDIzUkc3MDExTEE1QTRZJmVuY3J5cHRlZEFkSWQ9QTAxODg4NzExODZZOU9SOEdMMDUyJndpZGdldE5hbWU9c3BfYXRmJmFjdGlvbj1jbGlja1JlZGlyZWN0JmRvTm90TG9nQ2xpY2s9dHJ1ZQ&amp;linkCode=sl1&amp;tag=aram1-20&amp;linkId=29cbd33feca1d0763fb78cee685a0267&amp;language=en_US&amp;th=1</t>
  </si>
  <si>
    <t>Product</t>
  </si>
  <si>
    <t>Link</t>
  </si>
  <si>
    <t>Qty</t>
  </si>
  <si>
    <t>Price for single peice</t>
  </si>
  <si>
    <t>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</si>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</sst>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rgb="FF333E48"/>
      <name val="Arial"/>
      <family val="2"/>
    </font>
    <font>
      <sz val="12"/>
      <color rgb="FF0F1111"/>
      <name val="Arial"/>
      <family val="2"/>
    </font>
    <font>
      <sz val="12"/>
      <color rgb="FF111111"/>
      <name val="Segoe UI"/>
      <family val="2"/>
    </font>
    <font>
      <sz val="12"/>
      <color theme="1"/>
      <name val="Aptos Narrow"/>
      <family val="2"/>
      <scheme val="minor"/>
    </font>
    <font>
      <b/>
      <sz val="13"/>
      <color rgb="FF232323"/>
      <name val="Arial"/>
      <family val="2"/>
    </font>
    <font>
      <sz val="12"/>
      <color rgb="FF11182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1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ABE26D-66BA-4A04-99ED-75B1199DCF80}" name="Table2" displayName="Table2" ref="C3:G26" totalsRowShown="0">
  <autoFilter ref="C3:G26" xr:uid="{55ABE26D-66BA-4A04-99ED-75B1199DCF80}"/>
  <tableColumns count="5">
    <tableColumn id="1" xr3:uid="{2C0888D1-479F-40A9-9DEA-D67033C913DB}" name="Product" dataDxfId="1"/>
    <tableColumn id="2" xr3:uid="{50C6E39A-F7FB-4F23-9A0E-D345952277C2}" name="Link"/>
    <tableColumn id="3" xr3:uid="{960F095C-5B53-437D-B012-356AD6B26A33}" name="Qty"/>
    <tableColumn id="4" xr3:uid="{07734194-271E-4C1F-B5BD-B35783C29E7A}" name="Price for single peice"/>
    <tableColumn id="5" xr3:uid="{641ECD84-4A51-45FD-BDD0-7520F1E0776E}" name="Price" dataDxfId="0">
      <calculatedColumnFormula>(Table2[[#This Row],[Price for single peice]]*Table2[[#This Row],[Qty]])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4ECF-12E5-4925-AC5C-24967506A220}">
  <dimension ref="C3:G26"/>
  <sheetViews>
    <sheetView tabSelected="1" topLeftCell="A12" workbookViewId="0">
      <selection activeCell="G26" sqref="G26"/>
    </sheetView>
  </sheetViews>
  <sheetFormatPr defaultRowHeight="14.5" x14ac:dyDescent="0.35"/>
  <cols>
    <col min="3" max="3" width="55" customWidth="1"/>
    <col min="4" max="4" width="17" customWidth="1"/>
    <col min="6" max="6" width="19.453125" customWidth="1"/>
  </cols>
  <sheetData>
    <row r="3" spans="3:7" x14ac:dyDescent="0.35">
      <c r="C3" t="s">
        <v>40</v>
      </c>
      <c r="D3" t="s">
        <v>41</v>
      </c>
      <c r="E3" t="s">
        <v>42</v>
      </c>
      <c r="F3" t="s">
        <v>43</v>
      </c>
      <c r="G3" t="s">
        <v>44</v>
      </c>
    </row>
    <row r="4" spans="3:7" ht="19.5" customHeight="1" x14ac:dyDescent="0.35">
      <c r="C4" s="1" t="s">
        <v>0</v>
      </c>
      <c r="D4" t="s">
        <v>1</v>
      </c>
      <c r="E4">
        <v>6</v>
      </c>
      <c r="F4">
        <v>4.68</v>
      </c>
      <c r="G4">
        <f>(Table2[[#This Row],[Price for single peice]]*Table2[[#This Row],[Qty]])</f>
        <v>28.08</v>
      </c>
    </row>
    <row r="5" spans="3:7" ht="17.5" customHeight="1" x14ac:dyDescent="0.35">
      <c r="C5" s="2" t="s">
        <v>2</v>
      </c>
      <c r="D5" t="s">
        <v>3</v>
      </c>
      <c r="E5">
        <v>1</v>
      </c>
      <c r="F5">
        <v>13.99</v>
      </c>
      <c r="G5">
        <f>(Table2[[#This Row],[Price for single peice]]*Table2[[#This Row],[Qty]])</f>
        <v>13.99</v>
      </c>
    </row>
    <row r="6" spans="3:7" ht="15.5" x14ac:dyDescent="0.35">
      <c r="C6" s="2" t="s">
        <v>4</v>
      </c>
      <c r="D6" t="s">
        <v>5</v>
      </c>
      <c r="E6">
        <v>2</v>
      </c>
      <c r="F6">
        <v>13.99</v>
      </c>
      <c r="G6">
        <f>(Table2[[#This Row],[Price for single peice]]*Table2[[#This Row],[Qty]])</f>
        <v>27.98</v>
      </c>
    </row>
    <row r="7" spans="3:7" ht="15.5" x14ac:dyDescent="0.35">
      <c r="C7" s="2" t="s">
        <v>6</v>
      </c>
      <c r="D7" t="s">
        <v>7</v>
      </c>
      <c r="E7">
        <v>2</v>
      </c>
      <c r="F7">
        <v>14.99</v>
      </c>
      <c r="G7">
        <f>(Table2[[#This Row],[Price for single peice]]*Table2[[#This Row],[Qty]])</f>
        <v>29.98</v>
      </c>
    </row>
    <row r="8" spans="3:7" ht="15.5" x14ac:dyDescent="0.35">
      <c r="C8" s="2" t="s">
        <v>8</v>
      </c>
      <c r="D8" t="s">
        <v>9</v>
      </c>
      <c r="E8">
        <v>2</v>
      </c>
      <c r="F8">
        <v>9.99</v>
      </c>
      <c r="G8">
        <f>(Table2[[#This Row],[Price for single peice]]*Table2[[#This Row],[Qty]])</f>
        <v>19.98</v>
      </c>
    </row>
    <row r="9" spans="3:7" ht="15.5" x14ac:dyDescent="0.35">
      <c r="C9" s="2" t="s">
        <v>10</v>
      </c>
      <c r="D9" t="s">
        <v>11</v>
      </c>
      <c r="E9">
        <v>1</v>
      </c>
      <c r="F9">
        <v>7.19</v>
      </c>
      <c r="G9">
        <f>(Table2[[#This Row],[Price for single peice]]*Table2[[#This Row],[Qty]])</f>
        <v>7.19</v>
      </c>
    </row>
    <row r="10" spans="3:7" ht="15.5" x14ac:dyDescent="0.35">
      <c r="C10" s="2" t="s">
        <v>12</v>
      </c>
      <c r="D10" t="s">
        <v>13</v>
      </c>
      <c r="E10">
        <v>1</v>
      </c>
      <c r="F10">
        <v>6.98</v>
      </c>
      <c r="G10">
        <f>(Table2[[#This Row],[Price for single peice]]*Table2[[#This Row],[Qty]])</f>
        <v>6.98</v>
      </c>
    </row>
    <row r="11" spans="3:7" ht="17.5" x14ac:dyDescent="0.45">
      <c r="C11" s="3" t="s">
        <v>15</v>
      </c>
      <c r="D11" t="s">
        <v>14</v>
      </c>
      <c r="E11">
        <v>2</v>
      </c>
      <c r="F11">
        <v>7.37</v>
      </c>
      <c r="G11">
        <f>(Table2[[#This Row],[Price for single peice]]*Table2[[#This Row],[Qty]])</f>
        <v>14.74</v>
      </c>
    </row>
    <row r="12" spans="3:7" ht="19.5" customHeight="1" x14ac:dyDescent="0.35">
      <c r="C12" s="1" t="s">
        <v>16</v>
      </c>
      <c r="D12" t="s">
        <v>17</v>
      </c>
      <c r="E12">
        <v>4</v>
      </c>
      <c r="F12">
        <v>1.38</v>
      </c>
      <c r="G12">
        <f>(Table2[[#This Row],[Price for single peice]]*Table2[[#This Row],[Qty]])</f>
        <v>5.52</v>
      </c>
    </row>
    <row r="13" spans="3:7" ht="20" customHeight="1" x14ac:dyDescent="0.35">
      <c r="C13" s="1" t="s">
        <v>19</v>
      </c>
      <c r="D13" t="s">
        <v>18</v>
      </c>
      <c r="E13">
        <v>2</v>
      </c>
      <c r="F13">
        <v>16.03</v>
      </c>
      <c r="G13">
        <f>(Table2[[#This Row],[Price for single peice]]*Table2[[#This Row],[Qty]])</f>
        <v>32.06</v>
      </c>
    </row>
    <row r="14" spans="3:7" ht="16.5" x14ac:dyDescent="0.35">
      <c r="C14" s="4"/>
      <c r="G14">
        <f>(Table2[[#This Row],[Price for single peice]]*Table2[[#This Row],[Qty]])</f>
        <v>0</v>
      </c>
    </row>
    <row r="15" spans="3:7" x14ac:dyDescent="0.35">
      <c r="G15">
        <f>(Table2[[#This Row],[Price for single peice]]*Table2[[#This Row],[Qty]])</f>
        <v>0</v>
      </c>
    </row>
    <row r="16" spans="3:7" ht="16" x14ac:dyDescent="0.4">
      <c r="C16" s="6" t="s">
        <v>20</v>
      </c>
      <c r="D16" t="s">
        <v>21</v>
      </c>
      <c r="E16">
        <v>6</v>
      </c>
      <c r="F16">
        <v>5.87</v>
      </c>
      <c r="G16">
        <f>(Table2[[#This Row],[Price for single peice]]*Table2[[#This Row],[Qty]])</f>
        <v>35.22</v>
      </c>
    </row>
    <row r="17" spans="3:7" ht="15.5" x14ac:dyDescent="0.35">
      <c r="C17" s="2" t="s">
        <v>22</v>
      </c>
      <c r="D17" t="s">
        <v>23</v>
      </c>
      <c r="E17">
        <v>2</v>
      </c>
      <c r="F17">
        <v>11.79</v>
      </c>
      <c r="G17">
        <f>(Table2[[#This Row],[Price for single peice]]*Table2[[#This Row],[Qty]])</f>
        <v>23.58</v>
      </c>
    </row>
    <row r="18" spans="3:7" ht="15.5" x14ac:dyDescent="0.35">
      <c r="C18" s="2" t="s">
        <v>24</v>
      </c>
      <c r="D18" t="s">
        <v>25</v>
      </c>
      <c r="E18">
        <v>1</v>
      </c>
      <c r="F18">
        <v>15.99</v>
      </c>
      <c r="G18">
        <f>(Table2[[#This Row],[Price for single peice]]*Table2[[#This Row],[Qty]])</f>
        <v>15.99</v>
      </c>
    </row>
    <row r="19" spans="3:7" ht="15.5" x14ac:dyDescent="0.35">
      <c r="C19" s="2" t="s">
        <v>26</v>
      </c>
      <c r="D19" t="s">
        <v>27</v>
      </c>
      <c r="E19">
        <v>1</v>
      </c>
      <c r="F19">
        <v>5.99</v>
      </c>
      <c r="G19">
        <f>(Table2[[#This Row],[Price for single peice]]*Table2[[#This Row],[Qty]])</f>
        <v>5.99</v>
      </c>
    </row>
    <row r="20" spans="3:7" ht="15.5" x14ac:dyDescent="0.35">
      <c r="C20" s="2" t="s">
        <v>28</v>
      </c>
      <c r="D20" t="s">
        <v>29</v>
      </c>
      <c r="E20">
        <v>1</v>
      </c>
      <c r="F20">
        <v>7.99</v>
      </c>
      <c r="G20">
        <f>(Table2[[#This Row],[Price for single peice]]*Table2[[#This Row],[Qty]])</f>
        <v>7.99</v>
      </c>
    </row>
    <row r="21" spans="3:7" ht="15.5" x14ac:dyDescent="0.35">
      <c r="C21" s="2" t="s">
        <v>30</v>
      </c>
      <c r="D21" t="s">
        <v>31</v>
      </c>
      <c r="E21">
        <v>1</v>
      </c>
      <c r="F21">
        <v>29.39</v>
      </c>
      <c r="G21">
        <f>(Table2[[#This Row],[Price for single peice]]*Table2[[#This Row],[Qty]])</f>
        <v>29.39</v>
      </c>
    </row>
    <row r="22" spans="3:7" ht="15.5" x14ac:dyDescent="0.35">
      <c r="C22" s="2" t="s">
        <v>32</v>
      </c>
      <c r="D22" t="s">
        <v>33</v>
      </c>
      <c r="E22">
        <v>1</v>
      </c>
      <c r="F22">
        <v>3.99</v>
      </c>
      <c r="G22">
        <f>(Table2[[#This Row],[Price for single peice]]*Table2[[#This Row],[Qty]])</f>
        <v>3.99</v>
      </c>
    </row>
    <row r="23" spans="3:7" ht="17.5" customHeight="1" x14ac:dyDescent="0.35">
      <c r="C23" s="5" t="s">
        <v>34</v>
      </c>
      <c r="D23" t="s">
        <v>35</v>
      </c>
      <c r="E23">
        <v>1</v>
      </c>
      <c r="F23">
        <v>15.94</v>
      </c>
      <c r="G23">
        <f>(Table2[[#This Row],[Price for single peice]]*Table2[[#This Row],[Qty]])</f>
        <v>15.94</v>
      </c>
    </row>
    <row r="24" spans="3:7" ht="15.5" x14ac:dyDescent="0.35">
      <c r="C24" s="2" t="s">
        <v>36</v>
      </c>
      <c r="D24" t="s">
        <v>37</v>
      </c>
      <c r="E24">
        <v>2</v>
      </c>
      <c r="F24">
        <v>9.99</v>
      </c>
      <c r="G24">
        <f>(Table2[[#This Row],[Price for single peice]]*Table2[[#This Row],[Qty]])</f>
        <v>19.98</v>
      </c>
    </row>
    <row r="25" spans="3:7" ht="15.5" x14ac:dyDescent="0.35">
      <c r="C25" s="2" t="s">
        <v>38</v>
      </c>
      <c r="D25" t="s">
        <v>39</v>
      </c>
      <c r="E25">
        <v>2</v>
      </c>
      <c r="F25">
        <v>13.99</v>
      </c>
      <c r="G25">
        <f>(Table2[[#This Row],[Price for single peice]]*Table2[[#This Row],[Qty]])</f>
        <v>27.98</v>
      </c>
    </row>
    <row r="26" spans="3:7" ht="15.5" x14ac:dyDescent="0.35">
      <c r="C26" s="2"/>
      <c r="F26" t="s">
        <v>45</v>
      </c>
      <c r="G26" s="7">
        <f>SUM(G4:G25)</f>
        <v>372.55000000000007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 Patel</dc:creator>
  <cp:lastModifiedBy>Mann Patel</cp:lastModifiedBy>
  <dcterms:created xsi:type="dcterms:W3CDTF">2026-03-20T09:22:51Z</dcterms:created>
  <dcterms:modified xsi:type="dcterms:W3CDTF">2026-03-20T09:48:45Z</dcterms:modified>
</cp:coreProperties>
</file>